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c6de4a537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47a04f0d100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23c62f9ec946e2" /><Relationship Type="http://schemas.openxmlformats.org/officeDocument/2006/relationships/theme" Target="/xl/theme/theme1.xml" Id="Rf96a0c314f684b7a" /><Relationship Type="http://schemas.openxmlformats.org/officeDocument/2006/relationships/sharedStrings" Target="/xl/sharedStrings.xml" Id="R7fd0f10bf7cc4f09" /><Relationship Type="http://schemas.openxmlformats.org/officeDocument/2006/relationships/worksheet" Target="/xl/worksheets/sheet1.xml" Id="Rb47a04f0d10048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16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</x:cols>
  <x:sheetData>
    <x:row r="1">
      <x:c r="A1" s="8" t="str">
        <x:v>№</x:v>
      </x:c>
      <x:c r="B1" s="8" t="str">
        <x:v>Наименование</x:v>
      </x:c>
      <x:c r="C1" s="8" t="str">
        <x:v>Категория</x:v>
      </x:c>
      <x:c r="D1" s="8" t="str">
        <x:v>Количество</x:v>
      </x:c>
      <x:c r="E1" s="8" t="str">
        <x:v>Цена, EUR</x:v>
      </x:c>
      <x:c r="F1" s="8" t="str">
        <x:v>Сумма, EUR</x:v>
      </x:c>
      <x:c r="G1" s="8" t="str">
        <x:v>Дата</x:v>
      </x:c>
    </x:row>
    <x:row r="2">
      <x:c r="A2" s="9" t="n">
        <x:v>1</x:v>
      </x:c>
      <x:c r="B2" s="9" t="str">
        <x:v>Клапан DN50</x:v>
      </x:c>
      <x:c r="C2" s="9" t="str">
        <x:v>арматура</x:v>
      </x:c>
      <x:c r="D2" s="9" t="n">
        <x:v>12</x:v>
      </x:c>
      <x:c r="E2" s="12" t="n">
        <x:v>45.5</x:v>
      </x:c>
      <x:c r="F2" s="12" t="n">
        <x:f>D2*E2</x:f>
        <x:v>546</x:v>
      </x:c>
      <x:c r="G2" s="14" t="n">
        <x:v>46266</x:v>
      </x:c>
    </x:row>
    <x:row r="3">
      <x:c r="A3" s="9" t="n">
        <x:v>2</x:v>
      </x:c>
      <x:c r="B3" s="9" t="str">
        <x:v>Фильтр F-100</x:v>
      </x:c>
      <x:c r="C3" s="9" t="str">
        <x:v>фильтрация</x:v>
      </x:c>
      <x:c r="D3" s="9" t="n">
        <x:v>7</x:v>
      </x:c>
      <x:c r="E3" s="12" t="n">
        <x:v>120</x:v>
      </x:c>
      <x:c r="F3" s="12" t="n">
        <x:f>D3*E3</x:f>
        <x:v>840</x:v>
      </x:c>
      <x:c r="G3" s="14" t="n">
        <x:v>46267</x:v>
      </x:c>
    </x:row>
    <x:row r="4">
      <x:c r="A4" s="9" t="n">
        <x:v>3</x:v>
      </x:c>
      <x:c r="B4" s="9" t="str">
        <x:v>Насос P-10</x:v>
      </x:c>
      <x:c r="C4" s="9" t="str">
        <x:v>насосы</x:v>
      </x:c>
      <x:c r="D4" s="9" t="n">
        <x:v>3</x:v>
      </x:c>
      <x:c r="E4" s="12" t="n">
        <x:v>780</x:v>
      </x:c>
      <x:c r="F4" s="12" t="n">
        <x:f>D4*E4</x:f>
        <x:v>2340</x:v>
      </x:c>
      <x:c r="G4" s="14" t="n">
        <x:v>46268</x:v>
      </x:c>
    </x:row>
    <x:row r="5">
      <x:c r="A5" s="9" t="n">
        <x:v>4</x:v>
      </x:c>
      <x:c r="B5" s="9" t="str">
        <x:v>Датчик T-4</x:v>
      </x:c>
      <x:c r="C5" s="9" t="str">
        <x:v>КИП</x:v>
      </x:c>
      <x:c r="D5" s="9" t="n">
        <x:v>18</x:v>
      </x:c>
      <x:c r="E5" s="12" t="n">
        <x:v>32.25</x:v>
      </x:c>
      <x:c r="F5" s="12" t="n">
        <x:f>D5*E5</x:f>
        <x:v>580.5</x:v>
      </x:c>
      <x:c r="G5" s="14" t="n">
        <x:v>46269</x:v>
      </x:c>
    </x:row>
    <x:row r="6">
      <x:c r="A6" s="9" t="n">
        <x:v>5</x:v>
      </x:c>
      <x:c r="B6" s="9" t="str">
        <x:v>Муфта M-20</x:v>
      </x:c>
      <x:c r="C6" s="9" t="str">
        <x:v>соединение</x:v>
      </x:c>
      <x:c r="D6" s="9" t="n">
        <x:v>10</x:v>
      </x:c>
      <x:c r="E6" s="12" t="n">
        <x:v>15.75</x:v>
      </x:c>
      <x:c r="F6" s="12" t="n">
        <x:f>D6*E6</x:f>
        <x:v>157.5</x:v>
      </x:c>
      <x:c r="G6" s="14" t="n">
        <x:v>46270</x:v>
      </x:c>
    </x:row>
  </x:sheetData>
  <x:pageMargins left="0.7" right="0.7" top="0.75" bottom="0.75" header="0.3" footer="0.3"/>
</x:worksheet>
</file>